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anton\Documents\Claude\Freexcel\.worktrees\formula-parity-loop\Freexcel\test-corpus\regressions\formula-cached\"/>
    </mc:Choice>
  </mc:AlternateContent>
  <xr:revisionPtr revIDLastSave="0" documentId="8_{E1D30968-0523-40B0-A15D-5920C7BCDCDB}" xr6:coauthVersionLast="47" xr6:coauthVersionMax="47" xr10:uidLastSave="{00000000-0000-0000-0000-000000000000}"/>
  <bookViews>
    <workbookView xWindow="43110" yWindow="6315" windowWidth="26610" windowHeight="12075" xr2:uid="{A00AA9EE-FEFC-460B-BE2C-059E42B28411}"/>
  </bookViews>
  <sheets>
    <sheet name="Financial" sheetId="1" r:id="rId1"/>
    <sheet name="Lookup" sheetId="2" r:id="rId2"/>
    <sheet name="LookupData" sheetId="3" r:id="rId3"/>
    <sheet name="Dynamic" sheetId="4" r:id="rId4"/>
    <sheet name="Dynamic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4" l="1"/>
  <c r="A7" i="4"/>
  <c r="A6" i="4"/>
  <c r="A5" i="4"/>
  <c r="A4" i="4"/>
  <c r="A3" i="4"/>
  <c r="A2" i="4"/>
  <c r="A1" i="4"/>
  <c r="A10" i="2"/>
  <c r="A9" i="2"/>
  <c r="A8" i="2"/>
  <c r="A7" i="2"/>
  <c r="A6" i="2"/>
  <c r="A5" i="2"/>
  <c r="A4" i="2"/>
  <c r="A3" i="2"/>
  <c r="A2" i="2"/>
  <c r="A1" i="2"/>
  <c r="A5" i="1"/>
  <c r="A4" i="1"/>
  <c r="A3" i="1"/>
  <c r="A2" i="1"/>
  <c r="A1" i="1"/>
</calcChain>
</file>

<file path=xl/sharedStrings.xml><?xml version="1.0" encoding="utf-8"?>
<sst xmlns="http://schemas.openxmlformats.org/spreadsheetml/2006/main" count="35" uniqueCount="32">
  <si>
    <t>YIELD inverse of PRICE</t>
  </si>
  <si>
    <t>PRICE inverse of YIELD</t>
  </si>
  <si>
    <t>TBILLYIELD inverse of TBILLPRICE</t>
  </si>
  <si>
    <t>TBILLPRICE inverse of TBILLYIELD</t>
  </si>
  <si>
    <t>Quarterly basis yield/price inverse</t>
  </si>
  <si>
    <t>Alpha</t>
  </si>
  <si>
    <t>Beta</t>
  </si>
  <si>
    <t>Gamma</t>
  </si>
  <si>
    <t>Small</t>
  </si>
  <si>
    <t>Medium</t>
  </si>
  <si>
    <t>Large</t>
  </si>
  <si>
    <t>First exact match</t>
  </si>
  <si>
    <t>Not found text</t>
  </si>
  <si>
    <t>Wildcard match</t>
  </si>
  <si>
    <t>Reverse exact match</t>
  </si>
  <si>
    <t>Next smaller</t>
  </si>
  <si>
    <t>Next larger</t>
  </si>
  <si>
    <t>XMATCH reverse exact</t>
  </si>
  <si>
    <t>XMATCH wildcard</t>
  </si>
  <si>
    <t>XMATCH next smaller</t>
  </si>
  <si>
    <t>XMATCH next larger</t>
  </si>
  <si>
    <t>A</t>
  </si>
  <si>
    <t>B</t>
  </si>
  <si>
    <t>C</t>
  </si>
  <si>
    <t>SUM over SEQUENCE spill</t>
  </si>
  <si>
    <t>INDEX over SORT spill</t>
  </si>
  <si>
    <t>ROWS over UNIQUE spill</t>
  </si>
  <si>
    <t>SUM over FILTER spill</t>
  </si>
  <si>
    <t>IFERROR catches empty FILTER</t>
  </si>
  <si>
    <t>INDEX over SEQUENCE spill</t>
  </si>
  <si>
    <t>COLUMNS over SEQUENCE spill</t>
  </si>
  <si>
    <t>INDEX over FILTER spill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</si>
</sst>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363F3-4727-4FEB-AD39-91F5310C2E9D}">
  <dimension ref="A1:B5"/>
  <sheetViews>
    <sheetView tabSelected="1" workbookViewId="0"/>
  </sheetViews>
  <sheetFormatPr defaultRowHeight="14.5" x14ac:dyDescent="0.35"/>
  <sheetData>
    <row r="1" spans="1:2" x14ac:dyDescent="0.35">
      <c r="A1">
        <f>ROUND(YIELD(DATE(2020,1,1),DATE(2025,1,1),0.08,PRICE(DATE(2020,1,1),DATE(2025,1,1),0.08,0.06,100,2),100,2),10)</f>
        <v>0.06</v>
      </c>
      <c r="B1" t="s">
        <v>0</v>
      </c>
    </row>
    <row r="2" spans="1:2" x14ac:dyDescent="0.35">
      <c r="A2">
        <f>ROUND(PRICE(DATE(2020,1,1),DATE(2025,1,1),0.08,YIELD(DATE(2020,1,1),DATE(2025,1,1),0.08,108.530202836775,100,2),100,2),8)</f>
        <v>108.53020284</v>
      </c>
      <c r="B2" t="s">
        <v>1</v>
      </c>
    </row>
    <row r="3" spans="1:2" x14ac:dyDescent="0.35">
      <c r="A3">
        <f>ROUND(TBILLYIELD(DATE(2020,1,1),DATE(2020,3,31),TBILLPRICE(DATE(2020,1,1),DATE(2020,3,31),0.05)),10)</f>
        <v>5.0632911400000001E-2</v>
      </c>
      <c r="B3" t="s">
        <v>2</v>
      </c>
    </row>
    <row r="4" spans="1:2" x14ac:dyDescent="0.35">
      <c r="A4">
        <f>ROUND(TBILLPRICE(DATE(2020,1,1),DATE(2020,3,31),TBILLYIELD(DATE(2020,1,1),DATE(2020,3,31),98.75)),8)</f>
        <v>98.734177220000007</v>
      </c>
      <c r="B4" t="s">
        <v>3</v>
      </c>
    </row>
    <row r="5" spans="1:2" x14ac:dyDescent="0.35">
      <c r="A5">
        <f>ROUND(YIELD(DATE(2021,6,15),DATE(2031,6,15),0.045,PRICE(DATE(2021,6,15),DATE(2031,6,15),0.045,0.0525,100,4,1),100,4,1),10)</f>
        <v>5.2499999999999998E-2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76E4-304C-4B95-9C0A-326AEFE3224B}">
  <dimension ref="A1:B10"/>
  <sheetViews>
    <sheetView workbookViewId="0"/>
  </sheetViews>
  <sheetFormatPr defaultRowHeight="14.5" x14ac:dyDescent="0.35"/>
  <sheetData>
    <row r="1" spans="1:2" x14ac:dyDescent="0.35">
      <c r="A1">
        <f>_xlfn.XLOOKUP("Beta",LookupData!A1:A4,LookupData!B1:B4)</f>
        <v>20</v>
      </c>
      <c r="B1" t="s">
        <v>11</v>
      </c>
    </row>
    <row r="2" spans="1:2" x14ac:dyDescent="0.35">
      <c r="A2" t="str">
        <f>_xlfn.XLOOKUP("Missing",LookupData!A1:A4,LookupData!B1:B4,"not found")</f>
        <v>not found</v>
      </c>
      <c r="B2" t="s">
        <v>12</v>
      </c>
    </row>
    <row r="3" spans="1:2" x14ac:dyDescent="0.35">
      <c r="A3">
        <f>_xlfn.XLOOKUP("B*",LookupData!A1:A4,LookupData!B1:B4,"none",2)</f>
        <v>20</v>
      </c>
      <c r="B3" t="s">
        <v>13</v>
      </c>
    </row>
    <row r="4" spans="1:2" x14ac:dyDescent="0.35">
      <c r="A4">
        <f>_xlfn.XLOOKUP("Beta",LookupData!A1:A4,LookupData!B1:B4,"none",0,-1)</f>
        <v>21</v>
      </c>
      <c r="B4" t="s">
        <v>14</v>
      </c>
    </row>
    <row r="5" spans="1:2" x14ac:dyDescent="0.35">
      <c r="A5" t="str">
        <f>_xlfn.XLOOKUP(7,LookupData!D1:D3,LookupData!E1:E3,"none",-1)</f>
        <v>Medium</v>
      </c>
      <c r="B5" t="s">
        <v>15</v>
      </c>
    </row>
    <row r="6" spans="1:2" x14ac:dyDescent="0.35">
      <c r="A6" t="str">
        <f>_xlfn.XLOOKUP(7,LookupData!D1:D3,LookupData!E1:E3,"none",1)</f>
        <v>Large</v>
      </c>
      <c r="B6" t="s">
        <v>16</v>
      </c>
    </row>
    <row r="7" spans="1:2" x14ac:dyDescent="0.35">
      <c r="A7">
        <f>_xlfn.XMATCH("Beta",LookupData!A1:A4,0,-1)</f>
        <v>3</v>
      </c>
      <c r="B7" t="s">
        <v>17</v>
      </c>
    </row>
    <row r="8" spans="1:2" x14ac:dyDescent="0.35">
      <c r="A8">
        <f>_xlfn.XMATCH("B*",LookupData!A1:A4,2)</f>
        <v>2</v>
      </c>
      <c r="B8" t="s">
        <v>18</v>
      </c>
    </row>
    <row r="9" spans="1:2" x14ac:dyDescent="0.35">
      <c r="A9">
        <f>_xlfn.XMATCH(7,LookupData!D1:D3,-1)</f>
        <v>2</v>
      </c>
      <c r="B9" t="s">
        <v>19</v>
      </c>
    </row>
    <row r="10" spans="1:2" x14ac:dyDescent="0.35">
      <c r="A10">
        <f>_xlfn.XMATCH(7,LookupData!D1:D3,1)</f>
        <v>3</v>
      </c>
      <c r="B10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E6B9-0BA6-49ED-BF2B-8A093A100B89}">
  <dimension ref="A1:E4"/>
  <sheetViews>
    <sheetView workbookViewId="0"/>
  </sheetViews>
  <sheetFormatPr defaultRowHeight="14.5" x14ac:dyDescent="0.35"/>
  <sheetData>
    <row r="1" spans="1:5" x14ac:dyDescent="0.35">
      <c r="A1" t="s">
        <v>5</v>
      </c>
      <c r="B1">
        <v>10</v>
      </c>
      <c r="D1">
        <v>1</v>
      </c>
      <c r="E1" t="s">
        <v>8</v>
      </c>
    </row>
    <row r="2" spans="1:5" x14ac:dyDescent="0.35">
      <c r="A2" t="s">
        <v>6</v>
      </c>
      <c r="B2">
        <v>20</v>
      </c>
      <c r="D2">
        <v>5</v>
      </c>
      <c r="E2" t="s">
        <v>9</v>
      </c>
    </row>
    <row r="3" spans="1:5" x14ac:dyDescent="0.35">
      <c r="A3" t="s">
        <v>6</v>
      </c>
      <c r="B3">
        <v>21</v>
      </c>
      <c r="D3">
        <v>10</v>
      </c>
      <c r="E3" t="s">
        <v>10</v>
      </c>
    </row>
    <row r="4" spans="1:5" x14ac:dyDescent="0.35">
      <c r="A4" t="s">
        <v>7</v>
      </c>
      <c r="B4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67AA-043F-4341-B084-AAD8761D01B7}">
  <dimension ref="A1:B8"/>
  <sheetViews>
    <sheetView workbookViewId="0"/>
  </sheetViews>
  <sheetFormatPr defaultRowHeight="14.5" x14ac:dyDescent="0.35"/>
  <sheetData>
    <row r="1" spans="1:2" x14ac:dyDescent="0.35">
      <c r="A1">
        <f>SUM(_xlfn.SEQUENCE(3,2,1,1))</f>
        <v>21</v>
      </c>
      <c r="B1" t="s">
        <v>24</v>
      </c>
    </row>
    <row r="2" spans="1:2" x14ac:dyDescent="0.35">
      <c r="A2">
        <f>INDEX(_xlfn._xlws.SORT(DynamicData!A1:A3),1,1)</f>
        <v>1</v>
      </c>
      <c r="B2" t="s">
        <v>25</v>
      </c>
    </row>
    <row r="3" spans="1:2" x14ac:dyDescent="0.35">
      <c r="A3">
        <f>ROWS(_xlfn.UNIQUE(DynamicData!B1:B5))</f>
        <v>3</v>
      </c>
      <c r="B3" t="s">
        <v>26</v>
      </c>
    </row>
    <row r="4" spans="1:2" x14ac:dyDescent="0.35">
      <c r="A4">
        <f>SUM(_xlfn._xlws.FILTER(DynamicData!A1:A5,DynamicData!C1:C5))</f>
        <v>10</v>
      </c>
      <c r="B4" t="s">
        <v>27</v>
      </c>
    </row>
    <row r="5" spans="1:2" x14ac:dyDescent="0.35">
      <c r="A5" t="str">
        <f>IFERROR(_xlfn._xlws.FILTER(DynamicData!A1:A1,DynamicData!D1:D1),"fallback")</f>
        <v>fallback</v>
      </c>
      <c r="B5" t="s">
        <v>28</v>
      </c>
    </row>
    <row r="6" spans="1:2" x14ac:dyDescent="0.35">
      <c r="A6">
        <f>INDEX(_xlfn.SEQUENCE(3,3),2,2)</f>
        <v>5</v>
      </c>
      <c r="B6" t="s">
        <v>29</v>
      </c>
    </row>
    <row r="7" spans="1:2" x14ac:dyDescent="0.35">
      <c r="A7">
        <f>COLUMNS(_xlfn.SEQUENCE(2,3))</f>
        <v>3</v>
      </c>
      <c r="B7" t="s">
        <v>30</v>
      </c>
    </row>
    <row r="8" spans="1:2" x14ac:dyDescent="0.35">
      <c r="A8">
        <f>INDEX(_xlfn._xlws.FILTER(DynamicData!A1:A5,DynamicData!C1:C5),2,1)</f>
        <v>2</v>
      </c>
      <c r="B8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6049-AA76-4111-A3AA-3582C9D0DA78}">
  <dimension ref="A1:D5"/>
  <sheetViews>
    <sheetView workbookViewId="0"/>
  </sheetViews>
  <sheetFormatPr defaultRowHeight="14.5" x14ac:dyDescent="0.35"/>
  <sheetData>
    <row r="1" spans="1:4" x14ac:dyDescent="0.35">
      <c r="A1">
        <v>3</v>
      </c>
      <c r="B1" t="s">
        <v>21</v>
      </c>
      <c r="C1" t="b">
        <v>1</v>
      </c>
      <c r="D1" t="b">
        <v>0</v>
      </c>
    </row>
    <row r="2" spans="1:4" x14ac:dyDescent="0.35">
      <c r="A2">
        <v>1</v>
      </c>
      <c r="B2" t="s">
        <v>22</v>
      </c>
      <c r="C2" t="b">
        <v>0</v>
      </c>
    </row>
    <row r="3" spans="1:4" x14ac:dyDescent="0.35">
      <c r="A3">
        <v>2</v>
      </c>
      <c r="B3" t="s">
        <v>21</v>
      </c>
      <c r="C3" t="b">
        <v>1</v>
      </c>
    </row>
    <row r="4" spans="1:4" x14ac:dyDescent="0.35">
      <c r="A4">
        <v>4</v>
      </c>
      <c r="B4" t="s">
        <v>23</v>
      </c>
      <c r="C4" t="b">
        <v>0</v>
      </c>
    </row>
    <row r="5" spans="1:4" x14ac:dyDescent="0.35">
      <c r="A5">
        <v>5</v>
      </c>
      <c r="B5" t="s">
        <v>22</v>
      </c>
      <c r="C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</vt:lpstr>
      <vt:lpstr>Lookup</vt:lpstr>
      <vt:lpstr>LookupData</vt:lpstr>
      <vt:lpstr>Dynamic</vt:lpstr>
      <vt:lpstr>DynamicData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Ivanov</dc:creator>
  <cp:lastModifiedBy>Antoni Ivanov</cp:lastModifiedBy>
  <dcterms:created xsi:type="dcterms:W3CDTF">2026-05-19T17:25:42Z</dcterms:created>
  <dcterms:modified xsi:type="dcterms:W3CDTF">2026-05-19T17:25:44Z</dcterms:modified>
</cp:coreProperties>
</file>