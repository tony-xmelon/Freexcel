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parity-loop\Freexcel\test-corpus\regressions\formula-cached\"/>
    </mc:Choice>
  </mc:AlternateContent>
  <xr:revisionPtr revIDLastSave="0" documentId="8_{5946E883-8627-4DF6-A713-140A17A6093E}" xr6:coauthVersionLast="47" xr6:coauthVersionMax="47" xr10:uidLastSave="{00000000-0000-0000-0000-000000000000}"/>
  <bookViews>
    <workbookView xWindow="43110" yWindow="6315" windowWidth="26610" windowHeight="12075" xr2:uid="{1796D3F0-D751-429D-94E1-9CE5AF8E8250}"/>
  </bookViews>
  <sheets>
    <sheet name="statistical-inver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<sst xmlns="http://schemas.openxmlformats.org/spreadsheetml/2006/main" count="17" uniqueCount="17">
  <si>
    <t>NORM lower inverse roundtrip</t>
  </si>
  <si>
    <t>NORM upper inverse roundtrip</t>
  </si>
  <si>
    <t>NORM.S inverse roundtrip</t>
  </si>
  <si>
    <t>LOGNORM inverse roundtrip</t>
  </si>
  <si>
    <t>GAMMA inverse roundtrip</t>
  </si>
  <si>
    <t>BETA inverse roundtrip</t>
  </si>
  <si>
    <t>BETA bounded inverse roundtrip</t>
  </si>
  <si>
    <t>CHISQ left inverse roundtrip</t>
  </si>
  <si>
    <t>CHISQ right inverse roundtrip</t>
  </si>
  <si>
    <t>F left inverse roundtrip</t>
  </si>
  <si>
    <t>F right inverse roundtrip</t>
  </si>
  <si>
    <t>T left inverse roundtrip</t>
  </si>
  <si>
    <t>T two-tail inverse roundtrip</t>
  </si>
  <si>
    <t>CONFIDENCE.NORM cached result</t>
  </si>
  <si>
    <t>CONFIDENCE.T cached result</t>
  </si>
  <si>
    <t>POISSON mass cached result</t>
  </si>
  <si>
    <t>POISSON cumulative cached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</si>
</sst>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37F6-5FC3-444E-BDB9-54258C0C2F30}">
  <dimension ref="A1:B17"/>
  <sheetViews>
    <sheetView tabSelected="1" workbookViewId="0"/>
  </sheetViews>
  <sheetFormatPr defaultRowHeight="14.5" x14ac:dyDescent="0.35"/>
  <cols>
    <col min="1" max="1" width="11.81640625" bestFit="1" customWidth="1"/>
    <col min="2" max="2" width="30.6328125" bestFit="1" customWidth="1"/>
  </cols>
  <sheetData>
    <row r="1" spans="1:2" x14ac:dyDescent="0.35">
      <c r="A1">
        <f>ROUND(_xlfn.NORM.DIST(_xlfn.NORM.INV(0.001,0,1),0,1,TRUE),12)</f>
        <v>1E-3</v>
      </c>
      <c r="B1" t="s">
        <v>0</v>
      </c>
    </row>
    <row r="2" spans="1:2" x14ac:dyDescent="0.35">
      <c r="A2">
        <f>ROUND(_xlfn.NORM.DIST(_xlfn.NORM.INV(0.999,0,1),0,1,TRUE),12)</f>
        <v>0.999</v>
      </c>
      <c r="B2" t="s">
        <v>1</v>
      </c>
    </row>
    <row r="3" spans="1:2" x14ac:dyDescent="0.35">
      <c r="A3">
        <f>ROUND(_xlfn.NORM.S.DIST(_xlfn.NORM.S.INV(0.975),TRUE),12)</f>
        <v>0.97499999999999998</v>
      </c>
      <c r="B3" t="s">
        <v>2</v>
      </c>
    </row>
    <row r="4" spans="1:2" x14ac:dyDescent="0.35">
      <c r="A4">
        <f>ROUND(_xlfn.LOGNORM.DIST(_xlfn.LOGNORM.INV(0.95,3.5,1.2),3.5,1.2,TRUE),12)</f>
        <v>0.95</v>
      </c>
      <c r="B4" t="s">
        <v>3</v>
      </c>
    </row>
    <row r="5" spans="1:2" x14ac:dyDescent="0.35">
      <c r="A5">
        <f>ROUND(_xlfn.GAMMA.DIST(_xlfn.GAMMA.INV(0.9,9,1),9,1,TRUE),12)</f>
        <v>0.9</v>
      </c>
      <c r="B5" t="s">
        <v>4</v>
      </c>
    </row>
    <row r="6" spans="1:2" x14ac:dyDescent="0.35">
      <c r="A6">
        <f>ROUND(_xlfn.BETA.DIST(_xlfn.BETA.INV(0.1,2,5),2,5,TRUE),12)</f>
        <v>0.1</v>
      </c>
      <c r="B6" t="s">
        <v>5</v>
      </c>
    </row>
    <row r="7" spans="1:2" x14ac:dyDescent="0.35">
      <c r="A7">
        <f>ROUND(_xlfn.BETA.DIST(_xlfn.BETA.INV(0.7,8,10,1,3),8,10,TRUE,1,3),12)</f>
        <v>0.7</v>
      </c>
      <c r="B7" t="s">
        <v>6</v>
      </c>
    </row>
    <row r="8" spans="1:2" x14ac:dyDescent="0.35">
      <c r="A8">
        <f>ROUND(_xlfn.CHISQ.DIST(_xlfn.CHISQ.INV(0.95,5),5,TRUE),12)</f>
        <v>0.95</v>
      </c>
      <c r="B8" t="s">
        <v>7</v>
      </c>
    </row>
    <row r="9" spans="1:2" x14ac:dyDescent="0.35">
      <c r="A9">
        <f>ROUND(_xlfn.CHISQ.DIST.RT(_xlfn.CHISQ.INV.RT(0.05,5),5),12)</f>
        <v>0.05</v>
      </c>
      <c r="B9" t="s">
        <v>8</v>
      </c>
    </row>
    <row r="10" spans="1:2" x14ac:dyDescent="0.35">
      <c r="A10">
        <f>ROUND(_xlfn.F.DIST(_xlfn.F.INV(0.95,5,10),5,10,TRUE),12)</f>
        <v>0.95</v>
      </c>
      <c r="B10" t="s">
        <v>9</v>
      </c>
    </row>
    <row r="11" spans="1:2" x14ac:dyDescent="0.35">
      <c r="A11">
        <f>ROUND(_xlfn.F.DIST.RT(_xlfn.F.INV.RT(0.05,5,10),5,10),12)</f>
        <v>0.05</v>
      </c>
      <c r="B11" t="s">
        <v>10</v>
      </c>
    </row>
    <row r="12" spans="1:2" x14ac:dyDescent="0.35">
      <c r="A12">
        <f>ROUND(_xlfn.T.DIST(_xlfn.T.INV(0.975,10),10,TRUE),12)</f>
        <v>0.97499999999999998</v>
      </c>
      <c r="B12" t="s">
        <v>11</v>
      </c>
    </row>
    <row r="13" spans="1:2" x14ac:dyDescent="0.35">
      <c r="A13">
        <f>ROUND(_xlfn.T.DIST.2T(_xlfn.T.INV.2T(0.05,10),10),12)</f>
        <v>0.05</v>
      </c>
      <c r="B13" t="s">
        <v>12</v>
      </c>
    </row>
    <row r="14" spans="1:2" x14ac:dyDescent="0.35">
      <c r="A14">
        <f>_xlfn.CONFIDENCE.NORM(0.05,2.5,50)</f>
        <v>0.69295191217483865</v>
      </c>
      <c r="B14" t="s">
        <v>13</v>
      </c>
    </row>
    <row r="15" spans="1:2" x14ac:dyDescent="0.35">
      <c r="A15">
        <f>_xlfn.CONFIDENCE.T(0.05,2.5,10)</f>
        <v>1.7883922649266619</v>
      </c>
      <c r="B15" t="s">
        <v>14</v>
      </c>
    </row>
    <row r="16" spans="1:2" x14ac:dyDescent="0.35">
      <c r="A16">
        <f>_xlfn.POISSON.DIST(2,5,FALSE)</f>
        <v>8.4224337488568335E-2</v>
      </c>
      <c r="B16" t="s">
        <v>15</v>
      </c>
    </row>
    <row r="17" spans="1:2" x14ac:dyDescent="0.35">
      <c r="A17">
        <f>_xlfn.POISSON.DIST(2,5,TRUE)</f>
        <v>0.12465201948308113</v>
      </c>
      <c r="B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statistical-inverses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2026-05-19T18:17:15Z</dcterms:created>
  <dcterms:modified xsi:type="dcterms:W3CDTF">2026-05-19T18:17:17Z</dcterms:modified>
</cp:coreProperties>
</file>