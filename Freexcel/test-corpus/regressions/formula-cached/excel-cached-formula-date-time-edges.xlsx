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B38AFE04-B349-4A68-ADE4-3EBA4079B198}" xr6:coauthVersionLast="47" xr6:coauthVersionMax="47" xr10:uidLastSave="{00000000-0000-0000-0000-000000000000}"/>
  <bookViews>
    <workbookView xWindow="43110" yWindow="6315" windowWidth="26610" windowHeight="12075" xr2:uid="{FD543571-D2F4-4B2A-8DD8-159BCCC2A5B2}"/>
  </bookViews>
  <sheets>
    <sheet name="DateTimeEd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<sst xmlns="http://schemas.openxmlformats.org/spreadsheetml/2006/main" count="22" uniqueCount="22">
  <si>
    <t>Case</t>
  </si>
  <si>
    <t>Formula</t>
  </si>
  <si>
    <t>date fake leap day</t>
  </si>
  <si>
    <t>date march zero</t>
  </si>
  <si>
    <t>date feb zero</t>
  </si>
  <si>
    <t>date march negative day</t>
  </si>
  <si>
    <t>year zero</t>
  </si>
  <si>
    <t>month zero</t>
  </si>
  <si>
    <t>day zero</t>
  </si>
  <si>
    <t>weekday zero</t>
  </si>
  <si>
    <t>weeknum zero</t>
  </si>
  <si>
    <t>isoweeknum zero</t>
  </si>
  <si>
    <t>time truncate decimal</t>
  </si>
  <si>
    <t>time wrap overflow</t>
  </si>
  <si>
    <t>hour negative serial</t>
  </si>
  <si>
    <t>minute negative serial</t>
  </si>
  <si>
    <t>second negative serial</t>
  </si>
  <si>
    <t>datedif serial days</t>
  </si>
  <si>
    <t>datedif yd serial</t>
  </si>
  <si>
    <t>datedif md serial</t>
  </si>
  <si>
    <t>negative date rejected</t>
  </si>
  <si>
    <t>negative serial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</si>
</sst>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957E-926D-45BD-8E8C-A2A34911F762}">
  <dimension ref="A1:B21"/>
  <sheetViews>
    <sheetView tabSelected="1" workbookViewId="0"/>
  </sheetViews>
  <sheetFormatPr defaultRowHeight="14.5" x14ac:dyDescent="0.35"/>
  <cols>
    <col min="1" max="1" width="21.90625" bestFit="1" customWidth="1"/>
    <col min="2" max="2" width="11.81640625" bestFit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>
        <f>DATE(1900,2,29)</f>
        <v>60</v>
      </c>
    </row>
    <row r="3" spans="1:2" x14ac:dyDescent="0.35">
      <c r="A3" t="s">
        <v>3</v>
      </c>
      <c r="B3" s="1">
        <f>DATE(1900,3,0)</f>
        <v>60</v>
      </c>
    </row>
    <row r="4" spans="1:2" x14ac:dyDescent="0.35">
      <c r="A4" t="s">
        <v>4</v>
      </c>
      <c r="B4" s="1">
        <f>DATE(1900,2,0)</f>
        <v>31</v>
      </c>
    </row>
    <row r="5" spans="1:2" x14ac:dyDescent="0.35">
      <c r="A5" t="s">
        <v>5</v>
      </c>
      <c r="B5" s="1">
        <f>DATE(1900,3,-1)</f>
        <v>59</v>
      </c>
    </row>
    <row r="6" spans="1:2" x14ac:dyDescent="0.35">
      <c r="A6" t="s">
        <v>6</v>
      </c>
      <c r="B6" s="1">
        <f>YEAR(0)</f>
        <v>1900</v>
      </c>
    </row>
    <row r="7" spans="1:2" x14ac:dyDescent="0.35">
      <c r="A7" t="s">
        <v>7</v>
      </c>
      <c r="B7" s="1">
        <f>MONTH(0)</f>
        <v>1</v>
      </c>
    </row>
    <row r="8" spans="1:2" x14ac:dyDescent="0.35">
      <c r="A8" t="s">
        <v>8</v>
      </c>
      <c r="B8" s="1">
        <f>DAY(0)</f>
        <v>0</v>
      </c>
    </row>
    <row r="9" spans="1:2" x14ac:dyDescent="0.35">
      <c r="A9" t="s">
        <v>9</v>
      </c>
      <c r="B9" s="1">
        <f>WEEKDAY(0)</f>
        <v>7</v>
      </c>
    </row>
    <row r="10" spans="1:2" x14ac:dyDescent="0.35">
      <c r="A10" t="s">
        <v>10</v>
      </c>
      <c r="B10" s="1">
        <f>WEEKNUM(0)</f>
        <v>0</v>
      </c>
    </row>
    <row r="11" spans="1:2" x14ac:dyDescent="0.35">
      <c r="A11" t="s">
        <v>11</v>
      </c>
      <c r="B11" s="1">
        <f>_xlfn.ISOWEEKNUM(0)</f>
        <v>52</v>
      </c>
    </row>
    <row r="12" spans="1:2" x14ac:dyDescent="0.35">
      <c r="A12" t="s">
        <v>12</v>
      </c>
      <c r="B12" s="1">
        <f>TIME(1.9,2.9,3.9)</f>
        <v>4.3090277777777776E-2</v>
      </c>
    </row>
    <row r="13" spans="1:2" x14ac:dyDescent="0.35">
      <c r="A13" t="s">
        <v>13</v>
      </c>
      <c r="B13" s="1">
        <f>TIME(25,61,61)</f>
        <v>8.4733796296296404E-2</v>
      </c>
    </row>
    <row r="14" spans="1:2" x14ac:dyDescent="0.35">
      <c r="A14" t="s">
        <v>14</v>
      </c>
      <c r="B14" s="1" t="e">
        <f>HOUR(-0.25)</f>
        <v>#NUM!</v>
      </c>
    </row>
    <row r="15" spans="1:2" x14ac:dyDescent="0.35">
      <c r="A15" t="s">
        <v>15</v>
      </c>
      <c r="B15" s="1" t="e">
        <f>MINUTE(-0.25)</f>
        <v>#NUM!</v>
      </c>
    </row>
    <row r="16" spans="1:2" x14ac:dyDescent="0.35">
      <c r="A16" t="s">
        <v>16</v>
      </c>
      <c r="B16" s="1" t="e">
        <f>SECOND(-0.25)</f>
        <v>#NUM!</v>
      </c>
    </row>
    <row r="17" spans="1:2" x14ac:dyDescent="0.35">
      <c r="A17" t="s">
        <v>17</v>
      </c>
      <c r="B17" s="1">
        <f>DATEDIF(DATE(1900,1,1),DATE(1900,3,1),"D")</f>
        <v>60</v>
      </c>
    </row>
    <row r="18" spans="1:2" x14ac:dyDescent="0.35">
      <c r="A18" t="s">
        <v>18</v>
      </c>
      <c r="B18" s="1">
        <f>DATEDIF(DATE(1900,2,28),DATE(1900,3,1),"YD")</f>
        <v>2</v>
      </c>
    </row>
    <row r="19" spans="1:2" x14ac:dyDescent="0.35">
      <c r="A19" t="s">
        <v>19</v>
      </c>
      <c r="B19" s="1">
        <f>DATEDIF(DATE(1900,1,31),DATE(1900,3,1),"MD")</f>
        <v>-1</v>
      </c>
    </row>
    <row r="20" spans="1:2" x14ac:dyDescent="0.35">
      <c r="A20" t="s">
        <v>20</v>
      </c>
      <c r="B20" s="1" t="e">
        <f>DATE(1900,0,31)</f>
        <v>#NUM!</v>
      </c>
    </row>
    <row r="21" spans="1:2" x14ac:dyDescent="0.35">
      <c r="A21" t="s">
        <v>21</v>
      </c>
      <c r="B21" s="1" t="e">
        <f>YEAR(-1)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DateTimeEdges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2026-05-19T12:39:40Z</dcterms:created>
  <dcterms:modified xsi:type="dcterms:W3CDTF">2026-05-19T12:39:43Z</dcterms:modified>
</cp:coreProperties>
</file>